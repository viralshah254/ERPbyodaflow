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75EE07E-6555-47EB-A253-F37FAB93DE91}" xr6:coauthVersionLast="47" xr6:coauthVersionMax="47" xr10:uidLastSave="{00000000-0000-0000-0000-000000000000}"/>
  <bookViews>
    <workbookView xWindow="-108" yWindow="-108" windowWidth="23256" windowHeight="12456" xr2:uid="{3A8FA197-F186-405A-84BB-08FE6191A061}"/>
  </bookViews>
  <sheets>
    <sheet name="Filleting Model" sheetId="1" r:id="rId1"/>
    <sheet name="SK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S9" i="1"/>
  <c r="S10" i="1"/>
  <c r="P3" i="1"/>
  <c r="S2" i="1" s="1"/>
  <c r="L39" i="1"/>
  <c r="L40" i="1"/>
  <c r="I6" i="1"/>
  <c r="L41" i="1" s="1"/>
  <c r="I3" i="1"/>
  <c r="L43" i="1" s="1"/>
  <c r="C3" i="1"/>
  <c r="F10" i="1" s="1"/>
  <c r="F18" i="1" s="1"/>
  <c r="C6" i="1"/>
  <c r="F25" i="1" s="1"/>
  <c r="F23" i="1"/>
  <c r="F24" i="1"/>
  <c r="S11" i="1" l="1"/>
  <c r="S13" i="1" s="1"/>
  <c r="S5" i="1"/>
  <c r="S6" i="1" s="1"/>
  <c r="S12" i="1"/>
  <c r="L18" i="1"/>
  <c r="L34" i="1" s="1"/>
  <c r="L9" i="1"/>
  <c r="L25" i="1" s="1"/>
  <c r="L8" i="1"/>
  <c r="L24" i="1" s="1"/>
  <c r="L16" i="1"/>
  <c r="L32" i="1" s="1"/>
  <c r="L7" i="1"/>
  <c r="L23" i="1" s="1"/>
  <c r="L15" i="1"/>
  <c r="L31" i="1" s="1"/>
  <c r="L14" i="1"/>
  <c r="L30" i="1" s="1"/>
  <c r="F6" i="1"/>
  <c r="F2" i="1" s="1"/>
  <c r="F28" i="1" s="1"/>
  <c r="L13" i="1"/>
  <c r="L29" i="1" s="1"/>
  <c r="L17" i="1"/>
  <c r="L33" i="1" s="1"/>
  <c r="L6" i="1"/>
  <c r="L22" i="1" s="1"/>
  <c r="L12" i="1"/>
  <c r="L28" i="1" s="1"/>
  <c r="L10" i="1"/>
  <c r="L11" i="1"/>
  <c r="L27" i="1" s="1"/>
  <c r="C14" i="1"/>
  <c r="F11" i="1" s="1"/>
  <c r="F19" i="1" s="1"/>
  <c r="F27" i="1"/>
  <c r="F7" i="1"/>
  <c r="F9" i="1"/>
  <c r="F17" i="1" s="1"/>
  <c r="I22" i="1"/>
  <c r="L19" i="1" s="1"/>
  <c r="L35" i="1" s="1"/>
  <c r="F8" i="1"/>
  <c r="F16" i="1" s="1"/>
  <c r="S15" i="1" l="1"/>
  <c r="S16" i="1" s="1"/>
  <c r="L26" i="1"/>
  <c r="L36" i="1" s="1"/>
  <c r="L3" i="1"/>
  <c r="L46" i="1" s="1"/>
  <c r="F3" i="1"/>
  <c r="F30" i="1" s="1"/>
  <c r="L2" i="1"/>
  <c r="L42" i="1" s="1"/>
  <c r="L47" i="1"/>
  <c r="F14" i="1"/>
  <c r="F26" i="1"/>
  <c r="F29" i="1"/>
  <c r="F31" i="1"/>
  <c r="F15" i="1"/>
  <c r="L44" i="1" l="1"/>
  <c r="L45" i="1"/>
  <c r="F20" i="1"/>
  <c r="F32" i="1"/>
  <c r="F34" i="1" l="1"/>
  <c r="F35" i="1" s="1"/>
  <c r="L48" i="1"/>
  <c r="L50" i="1" s="1"/>
  <c r="L51" i="1" s="1"/>
</calcChain>
</file>

<file path=xl/sharedStrings.xml><?xml version="1.0" encoding="utf-8"?>
<sst xmlns="http://schemas.openxmlformats.org/spreadsheetml/2006/main" count="308" uniqueCount="113">
  <si>
    <t>Total Costs</t>
  </si>
  <si>
    <t>Nile Perch Fillet</t>
  </si>
  <si>
    <t>Nile Perch maw (0-50)</t>
  </si>
  <si>
    <t>Nile Perch maw (51-100)</t>
  </si>
  <si>
    <t>Nile Perch maw (101-200)</t>
  </si>
  <si>
    <t>Nile Perch Frame</t>
  </si>
  <si>
    <t>Nile Perch Chest</t>
  </si>
  <si>
    <t>Nile Perch Chips</t>
  </si>
  <si>
    <t>Nile Perch Fat</t>
  </si>
  <si>
    <t>Nile Perch Fin</t>
  </si>
  <si>
    <t>Nile Perch Eggs</t>
  </si>
  <si>
    <t>Nile Perch Skin</t>
  </si>
  <si>
    <t>Nile Perch Reject</t>
  </si>
  <si>
    <t>Nile Perch Whiole</t>
  </si>
  <si>
    <t>Purchased Quantity (Kgs)</t>
  </si>
  <si>
    <t>Count of Boxes</t>
  </si>
  <si>
    <t>Received Quantity (Kgs)</t>
  </si>
  <si>
    <t>Count of Sacks</t>
  </si>
  <si>
    <t>Product Price</t>
  </si>
  <si>
    <t>Cost of Finance</t>
  </si>
  <si>
    <t>Volumes</t>
  </si>
  <si>
    <t>Units</t>
  </si>
  <si>
    <t>Fillet</t>
  </si>
  <si>
    <t>Frame</t>
  </si>
  <si>
    <t>Processing Outcomes</t>
  </si>
  <si>
    <t>Distribution</t>
  </si>
  <si>
    <t>Skin</t>
  </si>
  <si>
    <t>Chips</t>
  </si>
  <si>
    <t>Fins</t>
  </si>
  <si>
    <t>Water Loss</t>
  </si>
  <si>
    <t>Revenue</t>
  </si>
  <si>
    <t>Selling Price per KG</t>
  </si>
  <si>
    <t>Total</t>
  </si>
  <si>
    <t xml:space="preserve"> Total Costs</t>
  </si>
  <si>
    <t>Product</t>
  </si>
  <si>
    <t>Glazing Temp Targets</t>
  </si>
  <si>
    <t>Cost of Financing</t>
  </si>
  <si>
    <t>Inbound Logistics</t>
  </si>
  <si>
    <t>Costs</t>
  </si>
  <si>
    <t>Boxes Capacity (Kgs)</t>
  </si>
  <si>
    <t>Processing Fee/kg (labor + electricity)</t>
  </si>
  <si>
    <t>Cost per Box</t>
  </si>
  <si>
    <t>Polythene (per box)</t>
  </si>
  <si>
    <t>Straps (per box)</t>
  </si>
  <si>
    <t>Sacks</t>
  </si>
  <si>
    <t>Logistics</t>
  </si>
  <si>
    <t>Cost per Sack</t>
  </si>
  <si>
    <t>Outbound Logistics</t>
  </si>
  <si>
    <t>Gross margin</t>
  </si>
  <si>
    <t xml:space="preserve">Nile Perch </t>
  </si>
  <si>
    <t>Mixed</t>
  </si>
  <si>
    <t xml:space="preserve">Small </t>
  </si>
  <si>
    <t>Large</t>
  </si>
  <si>
    <t>Size 1</t>
  </si>
  <si>
    <t>Size 2</t>
  </si>
  <si>
    <t>Size 3</t>
  </si>
  <si>
    <t>Size 4</t>
  </si>
  <si>
    <t>Size 5</t>
  </si>
  <si>
    <t>Size 6</t>
  </si>
  <si>
    <t>Size 7</t>
  </si>
  <si>
    <t>Size 8</t>
  </si>
  <si>
    <t>Size 9</t>
  </si>
  <si>
    <t>Size 10Up</t>
  </si>
  <si>
    <t>Tilapia</t>
  </si>
  <si>
    <t>Small - &lt;200 grams</t>
  </si>
  <si>
    <t>Large - &gt;200 grams</t>
  </si>
  <si>
    <t>Nile perch Processing Output Fillet - 6kg Boxes</t>
  </si>
  <si>
    <t>Tilapia Processing Output Fillet - 6kg Boxes</t>
  </si>
  <si>
    <t>Sourcing/Purchase</t>
  </si>
  <si>
    <t>Fish Frames/Mgongo Wazi</t>
  </si>
  <si>
    <t>Proccesing Outcome1 - Filleting</t>
  </si>
  <si>
    <t xml:space="preserve">Nile perch Processing Output </t>
  </si>
  <si>
    <t>Medium</t>
  </si>
  <si>
    <t>Small - 0-4kg</t>
  </si>
  <si>
    <t>Medium 4-8kg</t>
  </si>
  <si>
    <t>Large &gt;8kg</t>
  </si>
  <si>
    <t xml:space="preserve">Sales SKU - Filleting </t>
  </si>
  <si>
    <t>Nile perch Fillet - 6kg Boxes</t>
  </si>
  <si>
    <t>Tilapia Fillet - 6kg Boxes</t>
  </si>
  <si>
    <t>Sales - Gutting</t>
  </si>
  <si>
    <t>Nile perch SKUs</t>
  </si>
  <si>
    <t xml:space="preserve">Tilapia Gutted Whole fish </t>
  </si>
  <si>
    <t>Size 1/Grade 1/S1/G1</t>
  </si>
  <si>
    <t>Size 2/Grade 2/S2/G2</t>
  </si>
  <si>
    <t>Size 3/Grade 3/S3/G13</t>
  </si>
  <si>
    <t>Size 4/Grade 4/S4/G4</t>
  </si>
  <si>
    <t>Size 5/Grade 5/S5/G5</t>
  </si>
  <si>
    <t>Sales Channel</t>
  </si>
  <si>
    <t>Institutional Buyers/Franchises</t>
  </si>
  <si>
    <t>Franchises/Bulk Buyers</t>
  </si>
  <si>
    <t xml:space="preserve">Franchises </t>
  </si>
  <si>
    <t>Proccesing Outcome2 - Gutting</t>
  </si>
  <si>
    <t>Tilapia whole Fish</t>
  </si>
  <si>
    <t>Nileperch whole Fish</t>
  </si>
  <si>
    <t>Bulk Buyers/Export</t>
  </si>
  <si>
    <t xml:space="preserve">Tilapia </t>
  </si>
  <si>
    <t>Proccesing Outcome3 - Sun Drying</t>
  </si>
  <si>
    <t>DRIED FISH</t>
  </si>
  <si>
    <t>DIRED FISH</t>
  </si>
  <si>
    <t>DRIE FISH</t>
  </si>
  <si>
    <t>Processing Fee/kg (labor + Service Charge)</t>
  </si>
  <si>
    <t>Gross Margin</t>
  </si>
  <si>
    <t xml:space="preserve">NILEPERCH - Filleting </t>
  </si>
  <si>
    <t xml:space="preserve">TILAPIA - Filleting </t>
  </si>
  <si>
    <t xml:space="preserve">TILAPIA Sun Drying </t>
  </si>
  <si>
    <t>Fuel</t>
  </si>
  <si>
    <t>Driver Allowance</t>
  </si>
  <si>
    <t>Supervisor Allowance</t>
  </si>
  <si>
    <t>Turnboy Allowance</t>
  </si>
  <si>
    <t>Car Hire</t>
  </si>
  <si>
    <t>Inbound Logistics per 5-7T purchase</t>
  </si>
  <si>
    <t>Breakdown</t>
  </si>
  <si>
    <t>Sales - Sun Dried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</si>
</sst>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?_);_(@_)"/>
    <numFmt numFmtId="165" formatCode="0.0%"/>
    <numFmt numFmtId="166" formatCode="_-* #,##0_-;\-* #,##0_-;_-* &quot;-&quot;??_-;_-@_-"/>
    <numFmt numFmtId="167" formatCode="#,##0_);\(#,##0\);\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orbel"/>
      <family val="2"/>
    </font>
    <font>
      <sz val="11"/>
      <color rgb="FF3F72C4"/>
      <name val="Corbel"/>
      <family val="2"/>
    </font>
    <font>
      <b/>
      <sz val="11"/>
      <color theme="1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3" borderId="1" applyNumberFormat="0" applyAlignment="0" applyProtection="0"/>
  </cellStyleXfs>
  <cellXfs count="59">
    <xf numFmtId="0" fontId="0" fillId="0" borderId="0" xfId="0"/>
    <xf numFmtId="0" fontId="2" fillId="0" borderId="0" xfId="0" applyFont="1"/>
    <xf numFmtId="167" fontId="3" fillId="3" borderId="1" xfId="3" applyNumberFormat="1" applyAlignment="1">
      <alignment horizontal="right" wrapText="1"/>
    </xf>
    <xf numFmtId="167" fontId="3" fillId="4" borderId="1" xfId="3" applyNumberFormat="1" applyFill="1" applyAlignment="1">
      <alignment horizontal="right" wrapText="1"/>
    </xf>
    <xf numFmtId="0" fontId="4" fillId="0" borderId="3" xfId="0" applyFont="1" applyBorder="1"/>
    <xf numFmtId="0" fontId="4" fillId="0" borderId="3" xfId="0" applyFont="1" applyBorder="1" applyAlignment="1">
      <alignment horizontal="right" wrapText="1"/>
    </xf>
    <xf numFmtId="166" fontId="2" fillId="0" borderId="0" xfId="1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3" xfId="0" applyFont="1" applyBorder="1"/>
    <xf numFmtId="0" fontId="2" fillId="0" borderId="3" xfId="0" applyFont="1" applyBorder="1" applyAlignment="1">
      <alignment horizontal="right" wrapText="1"/>
    </xf>
    <xf numFmtId="165" fontId="3" fillId="3" borderId="1" xfId="2" applyNumberFormat="1" applyFont="1" applyFill="1" applyBorder="1" applyAlignment="1">
      <alignment horizontal="right" wrapText="1"/>
    </xf>
    <xf numFmtId="9" fontId="3" fillId="3" borderId="1" xfId="2" applyFont="1" applyFill="1" applyBorder="1" applyAlignment="1">
      <alignment horizontal="right" wrapText="1"/>
    </xf>
    <xf numFmtId="166" fontId="2" fillId="0" borderId="3" xfId="1" applyNumberFormat="1" applyFont="1" applyBorder="1" applyAlignment="1">
      <alignment horizontal="right" wrapText="1"/>
    </xf>
    <xf numFmtId="0" fontId="4" fillId="0" borderId="0" xfId="0" applyFont="1"/>
    <xf numFmtId="166" fontId="4" fillId="0" borderId="0" xfId="0" applyNumberFormat="1" applyFont="1" applyAlignment="1">
      <alignment horizontal="right" wrapText="1"/>
    </xf>
    <xf numFmtId="165" fontId="3" fillId="4" borderId="1" xfId="2" applyNumberFormat="1" applyFont="1" applyFill="1" applyBorder="1" applyAlignment="1">
      <alignment horizontal="right" wrapText="1"/>
    </xf>
    <xf numFmtId="167" fontId="2" fillId="0" borderId="0" xfId="0" applyNumberFormat="1" applyFont="1" applyAlignment="1">
      <alignment wrapText="1"/>
    </xf>
    <xf numFmtId="166" fontId="2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 wrapText="1"/>
    </xf>
    <xf numFmtId="0" fontId="2" fillId="0" borderId="2" xfId="0" applyFont="1" applyBorder="1"/>
    <xf numFmtId="166" fontId="2" fillId="0" borderId="2" xfId="1" applyNumberFormat="1" applyFont="1" applyBorder="1" applyAlignment="1">
      <alignment horizontal="right" wrapText="1"/>
    </xf>
    <xf numFmtId="165" fontId="2" fillId="0" borderId="0" xfId="2" applyNumberFormat="1" applyFont="1"/>
    <xf numFmtId="164" fontId="2" fillId="0" borderId="0" xfId="1" applyNumberFormat="1" applyFont="1"/>
    <xf numFmtId="0" fontId="2" fillId="2" borderId="0" xfId="0" applyFont="1" applyFill="1"/>
    <xf numFmtId="0" fontId="2" fillId="5" borderId="0" xfId="0" applyFont="1" applyFill="1" applyBorder="1"/>
    <xf numFmtId="0" fontId="2" fillId="0" borderId="0" xfId="0" applyFont="1" applyBorder="1"/>
    <xf numFmtId="0" fontId="2" fillId="2" borderId="4" xfId="0" applyFont="1" applyFill="1" applyBorder="1"/>
    <xf numFmtId="0" fontId="2" fillId="2" borderId="2" xfId="0" applyFont="1" applyFill="1" applyBorder="1"/>
    <xf numFmtId="0" fontId="2" fillId="0" borderId="5" xfId="0" applyFont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2" borderId="10" xfId="0" applyFont="1" applyFill="1" applyBorder="1"/>
    <xf numFmtId="0" fontId="2" fillId="5" borderId="11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4" xfId="0" applyFont="1" applyBorder="1"/>
    <xf numFmtId="167" fontId="3" fillId="3" borderId="13" xfId="3" applyNumberFormat="1" applyBorder="1" applyAlignment="1">
      <alignment horizontal="right" wrapText="1"/>
    </xf>
    <xf numFmtId="166" fontId="2" fillId="0" borderId="5" xfId="0" applyNumberFormat="1" applyFont="1" applyBorder="1" applyAlignment="1">
      <alignment horizontal="right" wrapText="1"/>
    </xf>
    <xf numFmtId="167" fontId="3" fillId="3" borderId="1" xfId="3" applyNumberFormat="1" applyBorder="1" applyAlignment="1">
      <alignment horizontal="right" wrapText="1"/>
    </xf>
    <xf numFmtId="166" fontId="2" fillId="0" borderId="7" xfId="0" applyNumberFormat="1" applyFont="1" applyBorder="1" applyAlignment="1">
      <alignment horizontal="right" wrapText="1"/>
    </xf>
    <xf numFmtId="167" fontId="3" fillId="4" borderId="1" xfId="3" applyNumberFormat="1" applyFill="1" applyBorder="1" applyAlignment="1">
      <alignment horizontal="right" wrapText="1"/>
    </xf>
    <xf numFmtId="0" fontId="4" fillId="0" borderId="9" xfId="0" applyFont="1" applyBorder="1" applyAlignment="1">
      <alignment horizontal="right" wrapText="1"/>
    </xf>
    <xf numFmtId="166" fontId="2" fillId="0" borderId="7" xfId="1" applyNumberFormat="1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0" fontId="2" fillId="0" borderId="7" xfId="0" applyFont="1" applyBorder="1" applyAlignment="1">
      <alignment horizontal="right" wrapText="1"/>
    </xf>
    <xf numFmtId="166" fontId="2" fillId="5" borderId="7" xfId="1" applyNumberFormat="1" applyFont="1" applyFill="1" applyBorder="1" applyAlignment="1">
      <alignment horizontal="right" wrapText="1"/>
    </xf>
    <xf numFmtId="166" fontId="2" fillId="0" borderId="7" xfId="0" applyNumberFormat="1" applyFont="1" applyBorder="1"/>
    <xf numFmtId="166" fontId="2" fillId="0" borderId="0" xfId="1" applyNumberFormat="1" applyFont="1" applyBorder="1" applyAlignment="1">
      <alignment horizontal="right"/>
    </xf>
    <xf numFmtId="0" fontId="4" fillId="0" borderId="0" xfId="0" applyFont="1" applyBorder="1"/>
    <xf numFmtId="166" fontId="4" fillId="0" borderId="7" xfId="0" applyNumberFormat="1" applyFont="1" applyBorder="1" applyAlignment="1">
      <alignment horizontal="right" wrapText="1"/>
    </xf>
    <xf numFmtId="167" fontId="2" fillId="0" borderId="7" xfId="0" applyNumberFormat="1" applyFont="1" applyBorder="1" applyAlignment="1">
      <alignment wrapText="1"/>
    </xf>
    <xf numFmtId="166" fontId="2" fillId="0" borderId="9" xfId="1" applyNumberFormat="1" applyFont="1" applyBorder="1" applyAlignment="1">
      <alignment horizontal="right" wrapText="1"/>
    </xf>
    <xf numFmtId="166" fontId="4" fillId="0" borderId="7" xfId="1" applyNumberFormat="1" applyFont="1" applyBorder="1" applyAlignment="1">
      <alignment horizontal="right" wrapText="1"/>
    </xf>
    <xf numFmtId="166" fontId="2" fillId="0" borderId="5" xfId="1" applyNumberFormat="1" applyFont="1" applyBorder="1" applyAlignment="1">
      <alignment horizontal="right" wrapText="1"/>
    </xf>
    <xf numFmtId="165" fontId="2" fillId="0" borderId="7" xfId="2" applyNumberFormat="1" applyFont="1" applyBorder="1"/>
  </cellXfs>
  <cellStyles count="4">
    <cellStyle name="Comma" xfId="1" builtinId="3"/>
    <cellStyle name="Normal" xfId="0" builtinId="0"/>
    <cellStyle name="Percent" xfId="2" builtinId="5"/>
    <cellStyle name="Raw inputs" xfId="3" xr:uid="{448EA09A-2A44-45E6-9DB0-ACBE36704C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9AEB-52D2-4D9E-BBB2-0873F1C914DB}">
  <dimension ref="A1:S60"/>
  <sheetViews>
    <sheetView showGridLines="0" tabSelected="1" zoomScale="80" zoomScaleNormal="80" workbookViewId="0">
      <selection activeCell="H22" sqref="H22"/>
    </sheetView>
  </sheetViews>
  <sheetFormatPr defaultRowHeight="14.4" x14ac:dyDescent="0.3"/>
  <cols>
    <col min="1" max="1" width="2.77734375" style="1" customWidth="1"/>
    <col min="2" max="2" width="34" style="1" bestFit="1" customWidth="1"/>
    <col min="3" max="3" width="22.21875" style="7" customWidth="1"/>
    <col min="4" max="4" width="12.77734375" style="1" bestFit="1" customWidth="1"/>
    <col min="5" max="5" width="33.44140625" style="1" customWidth="1"/>
    <col min="6" max="6" width="17.21875" style="1" customWidth="1"/>
    <col min="7" max="7" width="8.77734375" style="1"/>
    <col min="8" max="8" width="34" style="1" bestFit="1" customWidth="1"/>
    <col min="9" max="9" width="22.21875" style="7" customWidth="1"/>
    <col min="10" max="10" width="12.77734375" style="1" bestFit="1" customWidth="1"/>
    <col min="11" max="11" width="33.44140625" style="1" customWidth="1"/>
    <col min="12" max="12" width="17.21875" style="1" customWidth="1"/>
    <col min="15" max="15" width="38" style="1" bestFit="1" customWidth="1"/>
    <col min="16" max="16" width="22.21875" style="7" customWidth="1"/>
    <col min="17" max="17" width="12.77734375" style="1" bestFit="1" customWidth="1"/>
    <col min="18" max="18" width="33.44140625" style="1" customWidth="1"/>
    <col min="19" max="19" width="17.21875" style="1" customWidth="1"/>
  </cols>
  <sheetData>
    <row r="1" spans="2:19" x14ac:dyDescent="0.3">
      <c r="B1" s="23" t="s">
        <v>103</v>
      </c>
      <c r="H1" s="23" t="s">
        <v>102</v>
      </c>
      <c r="O1" s="23" t="s">
        <v>104</v>
      </c>
      <c r="R1" s="4" t="s">
        <v>20</v>
      </c>
      <c r="S1" s="5" t="s">
        <v>21</v>
      </c>
    </row>
    <row r="2" spans="2:19" x14ac:dyDescent="0.3">
      <c r="B2" s="39" t="s">
        <v>14</v>
      </c>
      <c r="C2" s="40">
        <v>10000</v>
      </c>
      <c r="D2" s="19"/>
      <c r="E2" s="19" t="s">
        <v>15</v>
      </c>
      <c r="F2" s="41">
        <f>F6/C27</f>
        <v>588.50000000000011</v>
      </c>
      <c r="H2" s="39" t="s">
        <v>14</v>
      </c>
      <c r="I2" s="40">
        <v>10000</v>
      </c>
      <c r="J2" s="19"/>
      <c r="K2" s="19" t="s">
        <v>15</v>
      </c>
      <c r="L2" s="41">
        <f>L6/I43</f>
        <v>809.83333333333314</v>
      </c>
      <c r="O2" s="1" t="s">
        <v>14</v>
      </c>
      <c r="P2" s="2">
        <v>10000</v>
      </c>
      <c r="R2" s="1" t="s">
        <v>97</v>
      </c>
      <c r="S2" s="6">
        <f>P3*P8</f>
        <v>5500</v>
      </c>
    </row>
    <row r="3" spans="2:19" x14ac:dyDescent="0.3">
      <c r="B3" s="31" t="s">
        <v>16</v>
      </c>
      <c r="C3" s="42">
        <f>C2</f>
        <v>10000</v>
      </c>
      <c r="D3" s="25"/>
      <c r="E3" s="25" t="s">
        <v>17</v>
      </c>
      <c r="F3" s="43">
        <f>F7/30</f>
        <v>193.33333333333334</v>
      </c>
      <c r="H3" s="31" t="s">
        <v>16</v>
      </c>
      <c r="I3" s="42">
        <f>I2</f>
        <v>10000</v>
      </c>
      <c r="J3" s="25"/>
      <c r="K3" s="25" t="s">
        <v>17</v>
      </c>
      <c r="L3" s="43">
        <f>L10/30</f>
        <v>100</v>
      </c>
      <c r="O3" s="1" t="s">
        <v>16</v>
      </c>
      <c r="P3" s="2">
        <f>P2</f>
        <v>10000</v>
      </c>
      <c r="S3" s="7"/>
    </row>
    <row r="4" spans="2:19" x14ac:dyDescent="0.3">
      <c r="B4" s="31" t="s">
        <v>18</v>
      </c>
      <c r="C4" s="44">
        <v>305</v>
      </c>
      <c r="D4" s="25"/>
      <c r="E4" s="25"/>
      <c r="F4" s="32"/>
      <c r="H4" s="31" t="s">
        <v>18</v>
      </c>
      <c r="I4" s="44">
        <v>546</v>
      </c>
      <c r="J4" s="25"/>
      <c r="K4" s="25"/>
      <c r="L4" s="32"/>
      <c r="O4" s="1" t="s">
        <v>18</v>
      </c>
      <c r="P4" s="3">
        <v>305</v>
      </c>
      <c r="R4" s="4" t="s">
        <v>30</v>
      </c>
      <c r="S4" s="5" t="s">
        <v>21</v>
      </c>
    </row>
    <row r="5" spans="2:19" x14ac:dyDescent="0.3">
      <c r="B5" s="31" t="s">
        <v>19</v>
      </c>
      <c r="C5" s="44">
        <v>0</v>
      </c>
      <c r="D5" s="25"/>
      <c r="E5" s="4" t="s">
        <v>20</v>
      </c>
      <c r="F5" s="45" t="s">
        <v>21</v>
      </c>
      <c r="H5" s="31" t="s">
        <v>19</v>
      </c>
      <c r="I5" s="44">
        <v>0</v>
      </c>
      <c r="J5" s="25"/>
      <c r="K5" s="4" t="s">
        <v>20</v>
      </c>
      <c r="L5" s="45" t="s">
        <v>21</v>
      </c>
      <c r="O5" s="1" t="s">
        <v>37</v>
      </c>
      <c r="P5" s="3">
        <f>(15000+2000+3000+3000+3000)*(P2/5000)</f>
        <v>52000</v>
      </c>
      <c r="R5" s="1" t="s">
        <v>98</v>
      </c>
      <c r="S5" s="6">
        <f>S2*P11</f>
        <v>4262500</v>
      </c>
    </row>
    <row r="6" spans="2:19" x14ac:dyDescent="0.3">
      <c r="B6" s="31" t="s">
        <v>37</v>
      </c>
      <c r="C6" s="44">
        <f>(15000+2000+3000+3000)*(C2/7000)</f>
        <v>32857.142857142855</v>
      </c>
      <c r="D6" s="25"/>
      <c r="E6" s="25" t="s">
        <v>22</v>
      </c>
      <c r="F6" s="46">
        <f>(C9*$C$3)*(1+C24)</f>
        <v>3531.0000000000005</v>
      </c>
      <c r="H6" s="31" t="s">
        <v>37</v>
      </c>
      <c r="I6" s="44">
        <f>(15000+2000+3000+3000)*(I2/7000)</f>
        <v>32857.142857142855</v>
      </c>
      <c r="J6" s="25"/>
      <c r="K6" s="25" t="s">
        <v>1</v>
      </c>
      <c r="L6" s="46">
        <f>(I9*$I$3)*(1+I40)</f>
        <v>4858.9999999999991</v>
      </c>
      <c r="R6" s="13" t="s">
        <v>32</v>
      </c>
      <c r="S6" s="14">
        <f>SUM(S5:S5)</f>
        <v>4262500</v>
      </c>
    </row>
    <row r="7" spans="2:19" x14ac:dyDescent="0.3">
      <c r="B7" s="31"/>
      <c r="C7" s="47"/>
      <c r="D7" s="25"/>
      <c r="E7" s="25" t="s">
        <v>23</v>
      </c>
      <c r="F7" s="46">
        <f>C10*$C$3</f>
        <v>5800</v>
      </c>
      <c r="H7" s="31"/>
      <c r="I7" s="47"/>
      <c r="J7" s="25"/>
      <c r="K7" s="25" t="s">
        <v>2</v>
      </c>
      <c r="L7" s="46">
        <f t="shared" ref="L7:L19" si="0">I10*$I$3</f>
        <v>200</v>
      </c>
      <c r="O7" s="8" t="s">
        <v>24</v>
      </c>
      <c r="P7" s="9" t="s">
        <v>25</v>
      </c>
      <c r="S7" s="7"/>
    </row>
    <row r="8" spans="2:19" x14ac:dyDescent="0.3">
      <c r="B8" s="33" t="s">
        <v>24</v>
      </c>
      <c r="C8" s="9" t="s">
        <v>25</v>
      </c>
      <c r="D8" s="25"/>
      <c r="E8" s="25" t="s">
        <v>26</v>
      </c>
      <c r="F8" s="46">
        <f>C11*$C$3</f>
        <v>500</v>
      </c>
      <c r="H8" s="33" t="s">
        <v>24</v>
      </c>
      <c r="I8" s="9" t="s">
        <v>25</v>
      </c>
      <c r="J8" s="25"/>
      <c r="K8" s="25" t="s">
        <v>3</v>
      </c>
      <c r="L8" s="46">
        <f t="shared" si="0"/>
        <v>0</v>
      </c>
      <c r="O8" s="1" t="s">
        <v>99</v>
      </c>
      <c r="P8" s="10">
        <v>0.55000000000000004</v>
      </c>
      <c r="R8" s="4" t="s">
        <v>33</v>
      </c>
      <c r="S8" s="5" t="s">
        <v>21</v>
      </c>
    </row>
    <row r="9" spans="2:19" x14ac:dyDescent="0.3">
      <c r="B9" s="31" t="s">
        <v>22</v>
      </c>
      <c r="C9" s="10">
        <v>0.32100000000000001</v>
      </c>
      <c r="D9" s="25"/>
      <c r="E9" s="25" t="s">
        <v>27</v>
      </c>
      <c r="F9" s="46">
        <f>C12*$C$3</f>
        <v>300</v>
      </c>
      <c r="H9" s="31" t="s">
        <v>1</v>
      </c>
      <c r="I9" s="11">
        <v>0.43</v>
      </c>
      <c r="J9" s="25"/>
      <c r="K9" s="25" t="s">
        <v>4</v>
      </c>
      <c r="L9" s="46">
        <f t="shared" si="0"/>
        <v>0</v>
      </c>
      <c r="R9" s="1" t="s">
        <v>34</v>
      </c>
      <c r="S9" s="6">
        <f>P2*P4</f>
        <v>3050000</v>
      </c>
    </row>
    <row r="10" spans="2:19" x14ac:dyDescent="0.3">
      <c r="B10" s="31" t="s">
        <v>23</v>
      </c>
      <c r="C10" s="11">
        <v>0.57999999999999996</v>
      </c>
      <c r="D10" s="25"/>
      <c r="E10" s="25" t="s">
        <v>28</v>
      </c>
      <c r="F10" s="46">
        <f>C13*$C$3</f>
        <v>200</v>
      </c>
      <c r="H10" s="31" t="s">
        <v>2</v>
      </c>
      <c r="I10" s="11">
        <v>0.02</v>
      </c>
      <c r="J10" s="25"/>
      <c r="K10" s="25" t="s">
        <v>5</v>
      </c>
      <c r="L10" s="46">
        <f t="shared" si="0"/>
        <v>3000</v>
      </c>
      <c r="O10" s="8" t="s">
        <v>24</v>
      </c>
      <c r="P10" s="9" t="s">
        <v>31</v>
      </c>
      <c r="R10" s="1" t="s">
        <v>37</v>
      </c>
      <c r="S10" s="16">
        <f>P5</f>
        <v>52000</v>
      </c>
    </row>
    <row r="11" spans="2:19" x14ac:dyDescent="0.3">
      <c r="B11" s="31" t="s">
        <v>26</v>
      </c>
      <c r="C11" s="11">
        <v>0.05</v>
      </c>
      <c r="D11" s="25"/>
      <c r="E11" s="25" t="s">
        <v>29</v>
      </c>
      <c r="F11" s="46">
        <f>C14*$C$3</f>
        <v>0</v>
      </c>
      <c r="H11" s="31" t="s">
        <v>3</v>
      </c>
      <c r="I11" s="11">
        <v>0</v>
      </c>
      <c r="J11" s="25"/>
      <c r="K11" s="25" t="s">
        <v>6</v>
      </c>
      <c r="L11" s="46">
        <f t="shared" si="0"/>
        <v>560.77140169332085</v>
      </c>
      <c r="O11" s="1" t="s">
        <v>97</v>
      </c>
      <c r="P11" s="3">
        <v>775</v>
      </c>
      <c r="R11" s="1" t="s">
        <v>40</v>
      </c>
      <c r="S11" s="6">
        <f>P15*P3</f>
        <v>350000</v>
      </c>
    </row>
    <row r="12" spans="2:19" x14ac:dyDescent="0.3">
      <c r="B12" s="31" t="s">
        <v>27</v>
      </c>
      <c r="C12" s="11">
        <v>0.03</v>
      </c>
      <c r="D12" s="25"/>
      <c r="E12" s="25"/>
      <c r="F12" s="48"/>
      <c r="H12" s="31" t="s">
        <v>4</v>
      </c>
      <c r="I12" s="11">
        <v>0</v>
      </c>
      <c r="J12" s="25"/>
      <c r="K12" s="25" t="s">
        <v>7</v>
      </c>
      <c r="L12" s="46">
        <f t="shared" si="0"/>
        <v>413.92285983066796</v>
      </c>
      <c r="R12" s="8" t="s">
        <v>45</v>
      </c>
      <c r="S12" s="12">
        <f>P16*SUM(S2:S2)</f>
        <v>55000</v>
      </c>
    </row>
    <row r="13" spans="2:19" x14ac:dyDescent="0.3">
      <c r="B13" s="31" t="s">
        <v>28</v>
      </c>
      <c r="C13" s="11">
        <v>0.02</v>
      </c>
      <c r="D13" s="25"/>
      <c r="E13" s="4" t="s">
        <v>30</v>
      </c>
      <c r="F13" s="45" t="s">
        <v>21</v>
      </c>
      <c r="H13" s="31" t="s">
        <v>5</v>
      </c>
      <c r="I13" s="11">
        <v>0.3</v>
      </c>
      <c r="J13" s="25"/>
      <c r="K13" s="25" t="s">
        <v>8</v>
      </c>
      <c r="L13" s="46">
        <f t="shared" si="0"/>
        <v>270.08466603951081</v>
      </c>
      <c r="R13" s="13" t="s">
        <v>0</v>
      </c>
      <c r="S13" s="18">
        <f>SUM(S9:S12)</f>
        <v>3507000</v>
      </c>
    </row>
    <row r="14" spans="2:19" x14ac:dyDescent="0.3">
      <c r="B14" s="31" t="s">
        <v>29</v>
      </c>
      <c r="C14" s="10">
        <f>1-C3/C2</f>
        <v>0</v>
      </c>
      <c r="D14" s="25"/>
      <c r="E14" s="24" t="s">
        <v>22</v>
      </c>
      <c r="F14" s="49">
        <f t="shared" ref="F14:F19" si="1">F6*C17</f>
        <v>3354450.0000000005</v>
      </c>
      <c r="H14" s="31" t="s">
        <v>6</v>
      </c>
      <c r="I14" s="11">
        <v>5.6077140169332081E-2</v>
      </c>
      <c r="J14" s="25"/>
      <c r="K14" s="25" t="s">
        <v>9</v>
      </c>
      <c r="L14" s="46">
        <f t="shared" si="0"/>
        <v>274.50611476952025</v>
      </c>
      <c r="O14" s="1" t="s">
        <v>38</v>
      </c>
      <c r="S14" s="6"/>
    </row>
    <row r="15" spans="2:19" x14ac:dyDescent="0.3">
      <c r="B15" s="31"/>
      <c r="C15" s="47"/>
      <c r="D15" s="25"/>
      <c r="E15" s="25" t="s">
        <v>23</v>
      </c>
      <c r="F15" s="46">
        <f t="shared" si="1"/>
        <v>522000</v>
      </c>
      <c r="H15" s="31" t="s">
        <v>7</v>
      </c>
      <c r="I15" s="11">
        <v>4.1392285983066796E-2</v>
      </c>
      <c r="J15" s="25"/>
      <c r="K15" s="25" t="s">
        <v>10</v>
      </c>
      <c r="L15" s="46">
        <f t="shared" si="0"/>
        <v>24.647224835371592</v>
      </c>
      <c r="O15" s="1" t="s">
        <v>100</v>
      </c>
      <c r="P15" s="2">
        <v>35</v>
      </c>
      <c r="R15" s="19" t="s">
        <v>101</v>
      </c>
      <c r="S15" s="20">
        <f>S6-S13</f>
        <v>755500</v>
      </c>
    </row>
    <row r="16" spans="2:19" x14ac:dyDescent="0.3">
      <c r="B16" s="33" t="s">
        <v>24</v>
      </c>
      <c r="C16" s="9" t="s">
        <v>31</v>
      </c>
      <c r="D16" s="25"/>
      <c r="E16" s="25" t="s">
        <v>26</v>
      </c>
      <c r="F16" s="46">
        <f t="shared" si="1"/>
        <v>10000</v>
      </c>
      <c r="H16" s="31" t="s">
        <v>8</v>
      </c>
      <c r="I16" s="11">
        <v>2.7008466603951082E-2</v>
      </c>
      <c r="J16" s="25"/>
      <c r="K16" s="25" t="s">
        <v>11</v>
      </c>
      <c r="L16" s="46">
        <f t="shared" si="0"/>
        <v>759.7365945437441</v>
      </c>
      <c r="O16" s="1" t="s">
        <v>47</v>
      </c>
      <c r="P16" s="2">
        <v>10</v>
      </c>
      <c r="S16" s="21">
        <f>S15/S6</f>
        <v>0.17724340175953079</v>
      </c>
    </row>
    <row r="17" spans="2:18" x14ac:dyDescent="0.3">
      <c r="B17" s="31" t="s">
        <v>22</v>
      </c>
      <c r="C17" s="44">
        <v>950</v>
      </c>
      <c r="D17" s="25"/>
      <c r="E17" s="24" t="s">
        <v>27</v>
      </c>
      <c r="F17" s="49">
        <f t="shared" si="1"/>
        <v>84000</v>
      </c>
      <c r="H17" s="31" t="s">
        <v>9</v>
      </c>
      <c r="I17" s="11">
        <v>2.7450611476952023E-2</v>
      </c>
      <c r="J17" s="25"/>
      <c r="K17" s="25" t="s">
        <v>12</v>
      </c>
      <c r="L17" s="46">
        <f t="shared" si="0"/>
        <v>184.10159924741299</v>
      </c>
      <c r="P17" s="1"/>
    </row>
    <row r="18" spans="2:18" x14ac:dyDescent="0.3">
      <c r="B18" s="31" t="s">
        <v>23</v>
      </c>
      <c r="C18" s="44">
        <v>90</v>
      </c>
      <c r="D18" s="25"/>
      <c r="E18" s="25" t="s">
        <v>28</v>
      </c>
      <c r="F18" s="46">
        <f t="shared" si="1"/>
        <v>20000</v>
      </c>
      <c r="H18" s="31" t="s">
        <v>10</v>
      </c>
      <c r="I18" s="11">
        <v>2.464722483537159E-3</v>
      </c>
      <c r="J18" s="25"/>
      <c r="K18" s="25" t="s">
        <v>13</v>
      </c>
      <c r="L18" s="46">
        <f t="shared" si="0"/>
        <v>0</v>
      </c>
      <c r="P18" s="1"/>
    </row>
    <row r="19" spans="2:18" x14ac:dyDescent="0.3">
      <c r="B19" s="31" t="s">
        <v>26</v>
      </c>
      <c r="C19" s="42">
        <v>20</v>
      </c>
      <c r="D19" s="25"/>
      <c r="E19" s="8" t="s">
        <v>29</v>
      </c>
      <c r="F19" s="55">
        <f t="shared" si="1"/>
        <v>0</v>
      </c>
      <c r="H19" s="31" t="s">
        <v>11</v>
      </c>
      <c r="I19" s="11">
        <v>7.5973659454374412E-2</v>
      </c>
      <c r="J19" s="25"/>
      <c r="K19" s="25" t="s">
        <v>29</v>
      </c>
      <c r="L19" s="46">
        <f t="shared" si="0"/>
        <v>0</v>
      </c>
      <c r="P19" s="1"/>
    </row>
    <row r="20" spans="2:18" x14ac:dyDescent="0.3">
      <c r="B20" s="31" t="s">
        <v>27</v>
      </c>
      <c r="C20" s="42">
        <v>280</v>
      </c>
      <c r="D20" s="25"/>
      <c r="E20" s="52" t="s">
        <v>32</v>
      </c>
      <c r="F20" s="53">
        <f>SUM(F14:F19)</f>
        <v>3990450.0000000005</v>
      </c>
      <c r="H20" s="31" t="s">
        <v>12</v>
      </c>
      <c r="I20" s="11">
        <v>1.84101599247413E-2</v>
      </c>
      <c r="J20" s="25"/>
      <c r="K20" s="25"/>
      <c r="L20" s="48"/>
      <c r="O20" s="1" t="s">
        <v>110</v>
      </c>
      <c r="P20" s="7" t="s">
        <v>111</v>
      </c>
    </row>
    <row r="21" spans="2:18" x14ac:dyDescent="0.3">
      <c r="B21" s="31" t="s">
        <v>28</v>
      </c>
      <c r="C21" s="42">
        <v>100</v>
      </c>
      <c r="D21" s="25"/>
      <c r="E21" s="25"/>
      <c r="F21" s="48"/>
      <c r="H21" s="31" t="s">
        <v>13</v>
      </c>
      <c r="I21" s="11">
        <v>0</v>
      </c>
      <c r="J21" s="25"/>
      <c r="K21" s="4" t="s">
        <v>30</v>
      </c>
      <c r="L21" s="45" t="s">
        <v>21</v>
      </c>
      <c r="O21" s="1" t="s">
        <v>109</v>
      </c>
      <c r="P21" s="7">
        <v>12000</v>
      </c>
    </row>
    <row r="22" spans="2:18" x14ac:dyDescent="0.3">
      <c r="B22" s="31" t="s">
        <v>29</v>
      </c>
      <c r="C22" s="42">
        <v>1</v>
      </c>
      <c r="D22" s="25"/>
      <c r="E22" s="4" t="s">
        <v>33</v>
      </c>
      <c r="F22" s="45" t="s">
        <v>21</v>
      </c>
      <c r="H22" s="31" t="s">
        <v>29</v>
      </c>
      <c r="I22" s="10">
        <f>1-I3/I2</f>
        <v>0</v>
      </c>
      <c r="J22" s="25"/>
      <c r="K22" s="25" t="s">
        <v>1</v>
      </c>
      <c r="L22" s="49">
        <f t="shared" ref="L22:L35" si="2">L6*I25</f>
        <v>4616049.9999999991</v>
      </c>
      <c r="O22" s="1" t="s">
        <v>105</v>
      </c>
      <c r="P22" s="1">
        <v>15000</v>
      </c>
    </row>
    <row r="23" spans="2:18" x14ac:dyDescent="0.3">
      <c r="B23" s="31"/>
      <c r="C23" s="47"/>
      <c r="D23" s="25"/>
      <c r="E23" s="25" t="s">
        <v>34</v>
      </c>
      <c r="F23" s="46">
        <f>C2*C4</f>
        <v>3050000</v>
      </c>
      <c r="H23" s="31"/>
      <c r="I23" s="47"/>
      <c r="J23" s="25"/>
      <c r="K23" s="25" t="s">
        <v>2</v>
      </c>
      <c r="L23" s="50">
        <f>L7*I26</f>
        <v>1580000</v>
      </c>
      <c r="O23" s="1" t="s">
        <v>106</v>
      </c>
      <c r="P23" s="1">
        <v>2000</v>
      </c>
    </row>
    <row r="24" spans="2:18" x14ac:dyDescent="0.3">
      <c r="B24" s="31" t="s">
        <v>35</v>
      </c>
      <c r="C24" s="15">
        <v>0.1</v>
      </c>
      <c r="D24" s="25"/>
      <c r="E24" s="25" t="s">
        <v>36</v>
      </c>
      <c r="F24" s="54">
        <f>C5*C2</f>
        <v>0</v>
      </c>
      <c r="H24" s="33" t="s">
        <v>24</v>
      </c>
      <c r="I24" s="9" t="s">
        <v>31</v>
      </c>
      <c r="J24" s="25"/>
      <c r="K24" s="25" t="s">
        <v>3</v>
      </c>
      <c r="L24" s="50">
        <f t="shared" si="2"/>
        <v>0</v>
      </c>
      <c r="O24" s="1" t="s">
        <v>108</v>
      </c>
      <c r="P24" s="1">
        <v>3000</v>
      </c>
    </row>
    <row r="25" spans="2:18" x14ac:dyDescent="0.3">
      <c r="B25" s="31"/>
      <c r="C25" s="47"/>
      <c r="D25" s="25"/>
      <c r="E25" s="25" t="s">
        <v>37</v>
      </c>
      <c r="F25" s="54">
        <f>C6</f>
        <v>32857.142857142855</v>
      </c>
      <c r="H25" s="31" t="s">
        <v>1</v>
      </c>
      <c r="I25" s="44">
        <v>950</v>
      </c>
      <c r="J25" s="25"/>
      <c r="K25" s="25" t="s">
        <v>4</v>
      </c>
      <c r="L25" s="50">
        <f t="shared" si="2"/>
        <v>0</v>
      </c>
      <c r="O25" s="1" t="s">
        <v>107</v>
      </c>
      <c r="P25" s="1">
        <v>3000</v>
      </c>
    </row>
    <row r="26" spans="2:18" x14ac:dyDescent="0.3">
      <c r="B26" s="31" t="s">
        <v>38</v>
      </c>
      <c r="C26" s="47"/>
      <c r="D26" s="51"/>
      <c r="E26" s="25" t="s">
        <v>39</v>
      </c>
      <c r="F26" s="46">
        <f>F2*C28</f>
        <v>34133.000000000007</v>
      </c>
      <c r="H26" s="31" t="s">
        <v>2</v>
      </c>
      <c r="I26" s="42">
        <v>7900</v>
      </c>
      <c r="J26" s="51"/>
      <c r="K26" s="25" t="s">
        <v>5</v>
      </c>
      <c r="L26" s="50">
        <f t="shared" si="2"/>
        <v>165000</v>
      </c>
      <c r="P26" s="1"/>
      <c r="Q26" s="17"/>
    </row>
    <row r="27" spans="2:18" x14ac:dyDescent="0.3">
      <c r="B27" s="31" t="s">
        <v>39</v>
      </c>
      <c r="C27" s="42">
        <v>6</v>
      </c>
      <c r="D27" s="25"/>
      <c r="E27" s="25" t="s">
        <v>40</v>
      </c>
      <c r="F27" s="46">
        <f>C29*C3</f>
        <v>190000</v>
      </c>
      <c r="H27" s="31" t="s">
        <v>3</v>
      </c>
      <c r="I27" s="42">
        <v>10000</v>
      </c>
      <c r="J27" s="25"/>
      <c r="K27" s="25" t="s">
        <v>6</v>
      </c>
      <c r="L27" s="50">
        <f t="shared" si="2"/>
        <v>67292.568203198505</v>
      </c>
      <c r="P27" s="1"/>
      <c r="R27" s="22"/>
    </row>
    <row r="28" spans="2:18" x14ac:dyDescent="0.3">
      <c r="B28" s="31" t="s">
        <v>41</v>
      </c>
      <c r="C28" s="42">
        <v>58</v>
      </c>
      <c r="D28" s="25"/>
      <c r="E28" s="25" t="s">
        <v>42</v>
      </c>
      <c r="F28" s="46">
        <f>C30*F2</f>
        <v>2942.5000000000005</v>
      </c>
      <c r="H28" s="31" t="s">
        <v>4</v>
      </c>
      <c r="I28" s="42">
        <v>13000</v>
      </c>
      <c r="J28" s="25"/>
      <c r="K28" s="25" t="s">
        <v>7</v>
      </c>
      <c r="L28" s="50">
        <f t="shared" si="2"/>
        <v>103480.71495766699</v>
      </c>
      <c r="P28" s="1"/>
    </row>
    <row r="29" spans="2:18" x14ac:dyDescent="0.3">
      <c r="B29" s="31" t="s">
        <v>40</v>
      </c>
      <c r="C29" s="42">
        <v>19</v>
      </c>
      <c r="D29" s="25"/>
      <c r="E29" s="25" t="s">
        <v>43</v>
      </c>
      <c r="F29" s="46">
        <f>C31*F2</f>
        <v>2354.0000000000005</v>
      </c>
      <c r="H29" s="31" t="s">
        <v>5</v>
      </c>
      <c r="I29" s="42">
        <v>55</v>
      </c>
      <c r="J29" s="25"/>
      <c r="K29" s="25" t="s">
        <v>8</v>
      </c>
      <c r="L29" s="50">
        <f t="shared" si="2"/>
        <v>24307.619943555972</v>
      </c>
      <c r="P29" s="1"/>
    </row>
    <row r="30" spans="2:18" x14ac:dyDescent="0.3">
      <c r="B30" s="31" t="s">
        <v>42</v>
      </c>
      <c r="C30" s="42">
        <v>5</v>
      </c>
      <c r="D30" s="25"/>
      <c r="E30" s="25" t="s">
        <v>44</v>
      </c>
      <c r="F30" s="46">
        <f>F3*C32</f>
        <v>9666.6666666666679</v>
      </c>
      <c r="H30" s="31" t="s">
        <v>6</v>
      </c>
      <c r="I30" s="42">
        <v>120</v>
      </c>
      <c r="J30" s="25"/>
      <c r="K30" s="25" t="s">
        <v>9</v>
      </c>
      <c r="L30" s="50">
        <f t="shared" si="2"/>
        <v>27450.611476952025</v>
      </c>
      <c r="P30" s="1"/>
    </row>
    <row r="31" spans="2:18" x14ac:dyDescent="0.3">
      <c r="B31" s="31" t="s">
        <v>43</v>
      </c>
      <c r="C31" s="42">
        <v>4</v>
      </c>
      <c r="D31" s="25"/>
      <c r="E31" s="8" t="s">
        <v>45</v>
      </c>
      <c r="F31" s="55">
        <f>C33*SUM(F6:F7)</f>
        <v>55986</v>
      </c>
      <c r="H31" s="31" t="s">
        <v>7</v>
      </c>
      <c r="I31" s="42">
        <v>250</v>
      </c>
      <c r="J31" s="25"/>
      <c r="K31" s="25" t="s">
        <v>10</v>
      </c>
      <c r="L31" s="50">
        <f t="shared" si="2"/>
        <v>2464.7224835371594</v>
      </c>
      <c r="P31" s="1"/>
    </row>
    <row r="32" spans="2:18" x14ac:dyDescent="0.3">
      <c r="B32" s="31" t="s">
        <v>46</v>
      </c>
      <c r="C32" s="42">
        <v>50</v>
      </c>
      <c r="D32" s="25"/>
      <c r="E32" s="52" t="s">
        <v>0</v>
      </c>
      <c r="F32" s="56">
        <f>SUM(F23:F31)</f>
        <v>3377939.3095238092</v>
      </c>
      <c r="H32" s="31" t="s">
        <v>8</v>
      </c>
      <c r="I32" s="42">
        <v>90</v>
      </c>
      <c r="J32" s="25"/>
      <c r="K32" s="25" t="s">
        <v>11</v>
      </c>
      <c r="L32" s="50">
        <f t="shared" si="2"/>
        <v>15194.731890874882</v>
      </c>
      <c r="P32" s="1"/>
    </row>
    <row r="33" spans="2:16" x14ac:dyDescent="0.3">
      <c r="B33" s="31" t="s">
        <v>47</v>
      </c>
      <c r="C33" s="42">
        <v>6</v>
      </c>
      <c r="D33" s="25"/>
      <c r="E33" s="25"/>
      <c r="F33" s="46"/>
      <c r="H33" s="31" t="s">
        <v>9</v>
      </c>
      <c r="I33" s="42">
        <v>100</v>
      </c>
      <c r="J33" s="25"/>
      <c r="K33" s="25" t="s">
        <v>12</v>
      </c>
      <c r="L33" s="50">
        <f t="shared" si="2"/>
        <v>4234.3367826904987</v>
      </c>
      <c r="P33" s="1"/>
    </row>
    <row r="34" spans="2:16" x14ac:dyDescent="0.3">
      <c r="B34" s="31"/>
      <c r="C34" s="25"/>
      <c r="D34" s="25"/>
      <c r="E34" s="19" t="s">
        <v>48</v>
      </c>
      <c r="F34" s="57">
        <f>F20-F32</f>
        <v>612510.69047619123</v>
      </c>
      <c r="H34" s="31" t="s">
        <v>10</v>
      </c>
      <c r="I34" s="42">
        <v>100</v>
      </c>
      <c r="J34" s="25"/>
      <c r="K34" s="25" t="s">
        <v>13</v>
      </c>
      <c r="L34" s="50">
        <f t="shared" si="2"/>
        <v>0</v>
      </c>
      <c r="P34" s="1"/>
    </row>
    <row r="35" spans="2:16" x14ac:dyDescent="0.3">
      <c r="B35" s="31"/>
      <c r="C35" s="25"/>
      <c r="D35" s="25"/>
      <c r="E35" s="25"/>
      <c r="F35" s="58">
        <f>F34/F20</f>
        <v>0.15349413987800653</v>
      </c>
      <c r="H35" s="31" t="s">
        <v>11</v>
      </c>
      <c r="I35" s="42">
        <v>20</v>
      </c>
      <c r="J35" s="25"/>
      <c r="K35" s="25" t="s">
        <v>29</v>
      </c>
      <c r="L35" s="50">
        <f t="shared" si="2"/>
        <v>0</v>
      </c>
      <c r="P35" s="1"/>
    </row>
    <row r="36" spans="2:16" x14ac:dyDescent="0.3">
      <c r="B36" s="31" t="s">
        <v>110</v>
      </c>
      <c r="C36" s="47" t="s">
        <v>111</v>
      </c>
      <c r="D36" s="25"/>
      <c r="E36" s="25"/>
      <c r="F36" s="32"/>
      <c r="H36" s="31" t="s">
        <v>12</v>
      </c>
      <c r="I36" s="42">
        <v>23</v>
      </c>
      <c r="J36" s="25"/>
      <c r="K36" s="52" t="s">
        <v>32</v>
      </c>
      <c r="L36" s="53">
        <f>SUM(L22:L35)</f>
        <v>6605475.3057384752</v>
      </c>
      <c r="P36" s="1"/>
    </row>
    <row r="37" spans="2:16" x14ac:dyDescent="0.3">
      <c r="B37" s="31" t="s">
        <v>109</v>
      </c>
      <c r="C37" s="47">
        <v>12000</v>
      </c>
      <c r="D37" s="25"/>
      <c r="E37" s="25"/>
      <c r="F37" s="32"/>
      <c r="H37" s="31" t="s">
        <v>13</v>
      </c>
      <c r="I37" s="42">
        <v>0</v>
      </c>
      <c r="J37" s="25"/>
      <c r="K37" s="25"/>
      <c r="L37" s="48"/>
      <c r="P37" s="1"/>
    </row>
    <row r="38" spans="2:16" x14ac:dyDescent="0.3">
      <c r="B38" s="31" t="s">
        <v>105</v>
      </c>
      <c r="C38" s="25">
        <v>15000</v>
      </c>
      <c r="D38" s="25"/>
      <c r="E38" s="25"/>
      <c r="F38" s="32"/>
      <c r="H38" s="31" t="s">
        <v>29</v>
      </c>
      <c r="I38" s="42">
        <v>0</v>
      </c>
      <c r="J38" s="25"/>
      <c r="K38" s="4" t="s">
        <v>33</v>
      </c>
      <c r="L38" s="45" t="s">
        <v>21</v>
      </c>
      <c r="P38" s="1"/>
    </row>
    <row r="39" spans="2:16" x14ac:dyDescent="0.3">
      <c r="B39" s="31" t="s">
        <v>106</v>
      </c>
      <c r="C39" s="25">
        <v>2000</v>
      </c>
      <c r="D39" s="25"/>
      <c r="E39" s="25"/>
      <c r="F39" s="32"/>
      <c r="H39" s="31"/>
      <c r="I39" s="47"/>
      <c r="J39" s="25"/>
      <c r="K39" s="25" t="s">
        <v>34</v>
      </c>
      <c r="L39" s="46">
        <f>I3*I4</f>
        <v>5460000</v>
      </c>
      <c r="P39" s="1"/>
    </row>
    <row r="40" spans="2:16" x14ac:dyDescent="0.3">
      <c r="B40" s="31" t="s">
        <v>108</v>
      </c>
      <c r="C40" s="25">
        <v>3000</v>
      </c>
      <c r="D40" s="25"/>
      <c r="E40" s="25"/>
      <c r="F40" s="32"/>
      <c r="H40" s="31" t="s">
        <v>35</v>
      </c>
      <c r="I40" s="15">
        <v>0.13</v>
      </c>
      <c r="J40" s="25"/>
      <c r="K40" s="25" t="s">
        <v>36</v>
      </c>
      <c r="L40" s="54">
        <f>I5*I2</f>
        <v>0</v>
      </c>
      <c r="P40" s="1"/>
    </row>
    <row r="41" spans="2:16" x14ac:dyDescent="0.3">
      <c r="B41" s="31" t="s">
        <v>107</v>
      </c>
      <c r="C41" s="25">
        <v>3000</v>
      </c>
      <c r="D41" s="25"/>
      <c r="E41" s="25"/>
      <c r="F41" s="32"/>
      <c r="H41" s="31"/>
      <c r="I41" s="47"/>
      <c r="J41" s="25"/>
      <c r="K41" s="25" t="s">
        <v>37</v>
      </c>
      <c r="L41" s="54">
        <f>I6</f>
        <v>32857.142857142855</v>
      </c>
      <c r="P41" s="1"/>
    </row>
    <row r="42" spans="2:16" x14ac:dyDescent="0.3">
      <c r="B42" s="33"/>
      <c r="C42" s="8"/>
      <c r="D42" s="8"/>
      <c r="E42" s="8"/>
      <c r="F42" s="34"/>
      <c r="H42" s="31" t="s">
        <v>38</v>
      </c>
      <c r="I42" s="47"/>
      <c r="J42" s="25"/>
      <c r="K42" s="25" t="s">
        <v>39</v>
      </c>
      <c r="L42" s="46">
        <f>L2*I44</f>
        <v>46970.333333333321</v>
      </c>
      <c r="P42" s="1"/>
    </row>
    <row r="43" spans="2:16" x14ac:dyDescent="0.3">
      <c r="C43" s="1"/>
      <c r="H43" s="31" t="s">
        <v>39</v>
      </c>
      <c r="I43" s="42">
        <v>6</v>
      </c>
      <c r="J43" s="25"/>
      <c r="K43" s="25" t="s">
        <v>40</v>
      </c>
      <c r="L43" s="46">
        <f>I45*I3</f>
        <v>190000</v>
      </c>
      <c r="P43" s="1"/>
    </row>
    <row r="44" spans="2:16" x14ac:dyDescent="0.3">
      <c r="C44" s="1"/>
      <c r="H44" s="31" t="s">
        <v>41</v>
      </c>
      <c r="I44" s="42">
        <v>58</v>
      </c>
      <c r="J44" s="25"/>
      <c r="K44" s="25" t="s">
        <v>42</v>
      </c>
      <c r="L44" s="46">
        <f>I46*L2</f>
        <v>4049.1666666666656</v>
      </c>
    </row>
    <row r="45" spans="2:16" x14ac:dyDescent="0.3">
      <c r="C45" s="1"/>
      <c r="H45" s="31" t="s">
        <v>40</v>
      </c>
      <c r="I45" s="42">
        <v>19</v>
      </c>
      <c r="J45" s="25"/>
      <c r="K45" s="25" t="s">
        <v>43</v>
      </c>
      <c r="L45" s="46">
        <f>I47*L2</f>
        <v>3239.3333333333326</v>
      </c>
    </row>
    <row r="46" spans="2:16" x14ac:dyDescent="0.3">
      <c r="C46" s="1"/>
      <c r="H46" s="31" t="s">
        <v>42</v>
      </c>
      <c r="I46" s="42">
        <v>5</v>
      </c>
      <c r="J46" s="25"/>
      <c r="K46" s="25" t="s">
        <v>44</v>
      </c>
      <c r="L46" s="46">
        <f>L3*I48</f>
        <v>5000</v>
      </c>
    </row>
    <row r="47" spans="2:16" x14ac:dyDescent="0.3">
      <c r="C47" s="1"/>
      <c r="H47" s="31" t="s">
        <v>43</v>
      </c>
      <c r="I47" s="42">
        <v>4</v>
      </c>
      <c r="J47" s="25"/>
      <c r="K47" s="8" t="s">
        <v>45</v>
      </c>
      <c r="L47" s="55">
        <f>I49*SUM(L6:L19)</f>
        <v>63280.622765757274</v>
      </c>
    </row>
    <row r="48" spans="2:16" x14ac:dyDescent="0.3">
      <c r="C48" s="1"/>
      <c r="H48" s="31" t="s">
        <v>46</v>
      </c>
      <c r="I48" s="42">
        <v>50</v>
      </c>
      <c r="J48" s="25"/>
      <c r="K48" s="52" t="s">
        <v>0</v>
      </c>
      <c r="L48" s="56">
        <f>SUM(L39:L47)</f>
        <v>5805396.5989562329</v>
      </c>
    </row>
    <row r="49" spans="3:12" x14ac:dyDescent="0.3">
      <c r="C49" s="1"/>
      <c r="H49" s="31" t="s">
        <v>47</v>
      </c>
      <c r="I49" s="42">
        <v>6</v>
      </c>
      <c r="J49" s="25"/>
      <c r="K49" s="25"/>
      <c r="L49" s="46"/>
    </row>
    <row r="50" spans="3:12" x14ac:dyDescent="0.3">
      <c r="C50" s="1"/>
      <c r="H50" s="31"/>
      <c r="I50" s="25"/>
      <c r="J50" s="25"/>
      <c r="K50" s="19" t="s">
        <v>48</v>
      </c>
      <c r="L50" s="57">
        <f>L36-L48</f>
        <v>800078.70678224228</v>
      </c>
    </row>
    <row r="51" spans="3:12" x14ac:dyDescent="0.3">
      <c r="C51" s="1"/>
      <c r="H51" s="31"/>
      <c r="I51" s="25"/>
      <c r="J51" s="25"/>
      <c r="K51" s="25"/>
      <c r="L51" s="58">
        <f>L50/L36</f>
        <v>0.12112356336979684</v>
      </c>
    </row>
    <row r="52" spans="3:12" x14ac:dyDescent="0.3">
      <c r="C52" s="1"/>
      <c r="H52" s="31" t="s">
        <v>110</v>
      </c>
      <c r="I52" s="47" t="s">
        <v>111</v>
      </c>
      <c r="J52" s="25"/>
      <c r="K52" s="25"/>
      <c r="L52" s="32"/>
    </row>
    <row r="53" spans="3:12" x14ac:dyDescent="0.3">
      <c r="C53" s="1"/>
      <c r="H53" s="31" t="s">
        <v>109</v>
      </c>
      <c r="I53" s="47">
        <v>12000</v>
      </c>
      <c r="J53" s="25"/>
      <c r="K53" s="25"/>
      <c r="L53" s="32"/>
    </row>
    <row r="54" spans="3:12" x14ac:dyDescent="0.3">
      <c r="C54" s="1"/>
      <c r="H54" s="31" t="s">
        <v>105</v>
      </c>
      <c r="I54" s="25">
        <v>15000</v>
      </c>
      <c r="J54" s="25"/>
      <c r="K54" s="25"/>
      <c r="L54" s="32"/>
    </row>
    <row r="55" spans="3:12" x14ac:dyDescent="0.3">
      <c r="C55" s="1"/>
      <c r="H55" s="31" t="s">
        <v>106</v>
      </c>
      <c r="I55" s="25">
        <v>2000</v>
      </c>
      <c r="J55" s="25"/>
      <c r="K55" s="25"/>
      <c r="L55" s="32"/>
    </row>
    <row r="56" spans="3:12" x14ac:dyDescent="0.3">
      <c r="C56" s="1"/>
      <c r="H56" s="31" t="s">
        <v>108</v>
      </c>
      <c r="I56" s="25">
        <v>3000</v>
      </c>
      <c r="J56" s="25"/>
      <c r="K56" s="25"/>
      <c r="L56" s="32"/>
    </row>
    <row r="57" spans="3:12" x14ac:dyDescent="0.3">
      <c r="C57" s="1"/>
      <c r="H57" s="33" t="s">
        <v>107</v>
      </c>
      <c r="I57" s="8">
        <v>3000</v>
      </c>
      <c r="J57" s="8"/>
      <c r="K57" s="8"/>
      <c r="L57" s="34"/>
    </row>
    <row r="58" spans="3:12" x14ac:dyDescent="0.3">
      <c r="C58" s="1"/>
    </row>
    <row r="59" spans="3:12" x14ac:dyDescent="0.3">
      <c r="C59" s="1"/>
    </row>
    <row r="60" spans="3:12" x14ac:dyDescent="0.3">
      <c r="C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4CDC-8364-4E7D-93EA-1193C4540D49}">
  <dimension ref="B2:Q21"/>
  <sheetViews>
    <sheetView showGridLines="0" zoomScale="80" zoomScaleNormal="80" workbookViewId="0">
      <selection activeCell="E21" sqref="E21"/>
    </sheetView>
  </sheetViews>
  <sheetFormatPr defaultRowHeight="14.4" x14ac:dyDescent="0.3"/>
  <cols>
    <col min="1" max="1" width="2.44140625" style="1" customWidth="1"/>
    <col min="2" max="2" width="17.33203125" style="1" bestFit="1" customWidth="1"/>
    <col min="3" max="3" width="8.88671875" style="1"/>
    <col min="4" max="4" width="39.109375" style="1" bestFit="1" customWidth="1"/>
    <col min="5" max="5" width="8.88671875" style="1"/>
    <col min="6" max="6" width="23.5546875" style="1" bestFit="1" customWidth="1"/>
    <col min="7" max="7" width="27.44140625" style="1" bestFit="1" customWidth="1"/>
    <col min="8" max="8" width="8.88671875" style="1"/>
    <col min="9" max="9" width="39.109375" style="1" bestFit="1" customWidth="1"/>
    <col min="10" max="10" width="8.88671875" style="1"/>
    <col min="11" max="11" width="39.109375" style="1" bestFit="1" customWidth="1"/>
    <col min="12" max="12" width="23.5546875" style="1" customWidth="1"/>
    <col min="13" max="13" width="8.88671875" style="1"/>
    <col min="14" max="14" width="39.109375" style="1" bestFit="1" customWidth="1"/>
    <col min="15" max="15" width="8.88671875" style="1"/>
    <col min="16" max="16" width="39.109375" style="25" bestFit="1" customWidth="1"/>
    <col min="17" max="17" width="23.5546875" style="1" customWidth="1"/>
    <col min="18" max="16384" width="8.88671875" style="1"/>
  </cols>
  <sheetData>
    <row r="2" spans="2:17" x14ac:dyDescent="0.3">
      <c r="B2" s="35" t="s">
        <v>68</v>
      </c>
      <c r="D2" s="26" t="s">
        <v>70</v>
      </c>
      <c r="E2" s="19"/>
      <c r="F2" s="27" t="s">
        <v>76</v>
      </c>
      <c r="G2" s="28" t="s">
        <v>87</v>
      </c>
      <c r="I2" s="26" t="s">
        <v>91</v>
      </c>
      <c r="J2" s="19"/>
      <c r="K2" s="27" t="s">
        <v>79</v>
      </c>
      <c r="L2" s="28" t="s">
        <v>87</v>
      </c>
      <c r="N2" s="26" t="s">
        <v>96</v>
      </c>
      <c r="O2" s="19"/>
      <c r="P2" s="27" t="s">
        <v>112</v>
      </c>
      <c r="Q2" s="28" t="s">
        <v>87</v>
      </c>
    </row>
    <row r="3" spans="2:17" x14ac:dyDescent="0.3">
      <c r="B3" s="36" t="s">
        <v>49</v>
      </c>
      <c r="D3" s="29" t="s">
        <v>66</v>
      </c>
      <c r="E3" s="25"/>
      <c r="F3" s="24" t="s">
        <v>77</v>
      </c>
      <c r="G3" s="30"/>
      <c r="I3" s="29" t="s">
        <v>93</v>
      </c>
      <c r="J3" s="25"/>
      <c r="K3" s="24" t="s">
        <v>80</v>
      </c>
      <c r="L3" s="30"/>
      <c r="N3" s="29" t="s">
        <v>71</v>
      </c>
      <c r="O3" s="25"/>
      <c r="P3" s="24" t="s">
        <v>71</v>
      </c>
      <c r="Q3" s="30"/>
    </row>
    <row r="4" spans="2:17" x14ac:dyDescent="0.3">
      <c r="B4" s="37" t="s">
        <v>50</v>
      </c>
      <c r="D4" s="31" t="s">
        <v>64</v>
      </c>
      <c r="E4" s="25"/>
      <c r="F4" s="25" t="s">
        <v>64</v>
      </c>
      <c r="G4" s="32" t="s">
        <v>88</v>
      </c>
      <c r="I4" s="31" t="s">
        <v>51</v>
      </c>
      <c r="J4" s="25"/>
      <c r="K4" s="25" t="s">
        <v>51</v>
      </c>
      <c r="L4" s="32" t="s">
        <v>90</v>
      </c>
      <c r="N4" s="31" t="s">
        <v>50</v>
      </c>
      <c r="O4" s="25"/>
      <c r="P4" s="25" t="s">
        <v>50</v>
      </c>
      <c r="Q4" s="32" t="s">
        <v>94</v>
      </c>
    </row>
    <row r="5" spans="2:17" x14ac:dyDescent="0.3">
      <c r="B5" s="37" t="s">
        <v>73</v>
      </c>
      <c r="D5" s="31" t="s">
        <v>65</v>
      </c>
      <c r="E5" s="25"/>
      <c r="F5" s="25" t="s">
        <v>65</v>
      </c>
      <c r="G5" s="32" t="s">
        <v>88</v>
      </c>
      <c r="I5" s="31" t="s">
        <v>72</v>
      </c>
      <c r="J5" s="25"/>
      <c r="K5" s="25" t="s">
        <v>72</v>
      </c>
      <c r="L5" s="32" t="s">
        <v>90</v>
      </c>
      <c r="N5" s="31"/>
      <c r="O5" s="25"/>
      <c r="Q5" s="32"/>
    </row>
    <row r="6" spans="2:17" x14ac:dyDescent="0.3">
      <c r="B6" s="37" t="s">
        <v>74</v>
      </c>
      <c r="D6" s="31"/>
      <c r="E6" s="25"/>
      <c r="F6" s="25" t="s">
        <v>69</v>
      </c>
      <c r="G6" s="32" t="s">
        <v>89</v>
      </c>
      <c r="I6" s="31" t="s">
        <v>52</v>
      </c>
      <c r="J6" s="25"/>
      <c r="K6" s="25" t="s">
        <v>52</v>
      </c>
      <c r="L6" s="32" t="s">
        <v>90</v>
      </c>
      <c r="N6" s="31"/>
      <c r="O6" s="25"/>
      <c r="Q6" s="32"/>
    </row>
    <row r="7" spans="2:17" x14ac:dyDescent="0.3">
      <c r="B7" s="37" t="s">
        <v>75</v>
      </c>
      <c r="D7" s="31"/>
      <c r="E7" s="25"/>
      <c r="F7" s="25"/>
      <c r="G7" s="32"/>
      <c r="I7" s="31"/>
      <c r="J7" s="25"/>
      <c r="K7" s="25"/>
      <c r="L7" s="32"/>
      <c r="N7" s="31"/>
      <c r="O7" s="25"/>
      <c r="Q7" s="32"/>
    </row>
    <row r="8" spans="2:17" x14ac:dyDescent="0.3">
      <c r="B8" s="37"/>
      <c r="D8" s="31"/>
      <c r="E8" s="25"/>
      <c r="F8" s="25"/>
      <c r="G8" s="32"/>
      <c r="I8" s="31"/>
      <c r="J8" s="25"/>
      <c r="K8" s="25"/>
      <c r="L8" s="32"/>
      <c r="N8" s="31"/>
      <c r="O8" s="25"/>
      <c r="Q8" s="32"/>
    </row>
    <row r="9" spans="2:17" x14ac:dyDescent="0.3">
      <c r="B9" s="37"/>
      <c r="D9" s="31"/>
      <c r="E9" s="25"/>
      <c r="F9" s="25"/>
      <c r="G9" s="32"/>
      <c r="I9" s="31"/>
      <c r="J9" s="25"/>
      <c r="K9" s="25"/>
      <c r="L9" s="32"/>
      <c r="N9" s="31"/>
      <c r="O9" s="25"/>
      <c r="Q9" s="32"/>
    </row>
    <row r="10" spans="2:17" x14ac:dyDescent="0.3">
      <c r="B10" s="36" t="s">
        <v>63</v>
      </c>
      <c r="D10" s="29" t="s">
        <v>67</v>
      </c>
      <c r="E10" s="25"/>
      <c r="F10" s="24" t="s">
        <v>78</v>
      </c>
      <c r="G10" s="30"/>
      <c r="I10" s="29" t="s">
        <v>92</v>
      </c>
      <c r="J10" s="25"/>
      <c r="K10" s="24" t="s">
        <v>81</v>
      </c>
      <c r="L10" s="30"/>
      <c r="N10" s="29" t="s">
        <v>95</v>
      </c>
      <c r="O10" s="25"/>
      <c r="P10" s="24" t="s">
        <v>95</v>
      </c>
      <c r="Q10" s="30"/>
    </row>
    <row r="11" spans="2:17" x14ac:dyDescent="0.3">
      <c r="B11" s="37" t="s">
        <v>50</v>
      </c>
      <c r="D11" s="31" t="s">
        <v>64</v>
      </c>
      <c r="E11" s="25"/>
      <c r="F11" s="25" t="s">
        <v>64</v>
      </c>
      <c r="G11" s="32" t="s">
        <v>88</v>
      </c>
      <c r="I11" s="31" t="s">
        <v>53</v>
      </c>
      <c r="J11" s="25"/>
      <c r="K11" s="25" t="s">
        <v>82</v>
      </c>
      <c r="L11" s="32" t="s">
        <v>89</v>
      </c>
      <c r="N11" s="33" t="s">
        <v>50</v>
      </c>
      <c r="O11" s="8"/>
      <c r="P11" s="8" t="s">
        <v>50</v>
      </c>
      <c r="Q11" s="34" t="s">
        <v>94</v>
      </c>
    </row>
    <row r="12" spans="2:17" x14ac:dyDescent="0.3">
      <c r="B12" s="37" t="s">
        <v>53</v>
      </c>
      <c r="D12" s="31" t="s">
        <v>65</v>
      </c>
      <c r="E12" s="25"/>
      <c r="F12" s="25" t="s">
        <v>65</v>
      </c>
      <c r="G12" s="32" t="s">
        <v>88</v>
      </c>
      <c r="I12" s="31" t="s">
        <v>54</v>
      </c>
      <c r="J12" s="25"/>
      <c r="K12" s="25" t="s">
        <v>83</v>
      </c>
      <c r="L12" s="32" t="s">
        <v>89</v>
      </c>
    </row>
    <row r="13" spans="2:17" x14ac:dyDescent="0.3">
      <c r="B13" s="37" t="s">
        <v>54</v>
      </c>
      <c r="D13" s="33"/>
      <c r="E13" s="8"/>
      <c r="F13" s="8" t="s">
        <v>69</v>
      </c>
      <c r="G13" s="34" t="s">
        <v>89</v>
      </c>
      <c r="I13" s="31" t="s">
        <v>55</v>
      </c>
      <c r="J13" s="25"/>
      <c r="K13" s="25" t="s">
        <v>84</v>
      </c>
      <c r="L13" s="32" t="s">
        <v>89</v>
      </c>
    </row>
    <row r="14" spans="2:17" x14ac:dyDescent="0.3">
      <c r="B14" s="37" t="s">
        <v>55</v>
      </c>
      <c r="I14" s="31" t="s">
        <v>56</v>
      </c>
      <c r="J14" s="25"/>
      <c r="K14" s="25" t="s">
        <v>85</v>
      </c>
      <c r="L14" s="32" t="s">
        <v>89</v>
      </c>
    </row>
    <row r="15" spans="2:17" x14ac:dyDescent="0.3">
      <c r="B15" s="37" t="s">
        <v>56</v>
      </c>
      <c r="I15" s="31" t="s">
        <v>57</v>
      </c>
      <c r="J15" s="25"/>
      <c r="K15" s="25" t="s">
        <v>86</v>
      </c>
      <c r="L15" s="32" t="s">
        <v>89</v>
      </c>
    </row>
    <row r="16" spans="2:17" x14ac:dyDescent="0.3">
      <c r="B16" s="37" t="s">
        <v>57</v>
      </c>
      <c r="I16" s="31" t="s">
        <v>58</v>
      </c>
      <c r="J16" s="25"/>
      <c r="K16" s="25" t="s">
        <v>58</v>
      </c>
      <c r="L16" s="32" t="s">
        <v>89</v>
      </c>
    </row>
    <row r="17" spans="2:12" x14ac:dyDescent="0.3">
      <c r="B17" s="37" t="s">
        <v>58</v>
      </c>
      <c r="I17" s="31" t="s">
        <v>59</v>
      </c>
      <c r="J17" s="25"/>
      <c r="K17" s="25" t="s">
        <v>59</v>
      </c>
      <c r="L17" s="32" t="s">
        <v>89</v>
      </c>
    </row>
    <row r="18" spans="2:12" x14ac:dyDescent="0.3">
      <c r="B18" s="37" t="s">
        <v>59</v>
      </c>
      <c r="I18" s="31" t="s">
        <v>60</v>
      </c>
      <c r="J18" s="25"/>
      <c r="K18" s="25" t="s">
        <v>60</v>
      </c>
      <c r="L18" s="32" t="s">
        <v>89</v>
      </c>
    </row>
    <row r="19" spans="2:12" x14ac:dyDescent="0.3">
      <c r="B19" s="37" t="s">
        <v>60</v>
      </c>
      <c r="I19" s="31" t="s">
        <v>61</v>
      </c>
      <c r="J19" s="25"/>
      <c r="K19" s="25" t="s">
        <v>61</v>
      </c>
      <c r="L19" s="32" t="s">
        <v>89</v>
      </c>
    </row>
    <row r="20" spans="2:12" x14ac:dyDescent="0.3">
      <c r="B20" s="37" t="s">
        <v>61</v>
      </c>
      <c r="I20" s="33" t="s">
        <v>62</v>
      </c>
      <c r="J20" s="8"/>
      <c r="K20" s="8" t="s">
        <v>62</v>
      </c>
      <c r="L20" s="34" t="s">
        <v>89</v>
      </c>
    </row>
    <row r="21" spans="2:12" x14ac:dyDescent="0.3">
      <c r="B21" s="3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Filleting Model</vt:lpstr>
      <vt:lpstr>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Joram Kabach</dc:creator>
  <cp:lastModifiedBy>Joram Kabach</cp:lastModifiedBy>
  <dcterms:created xsi:type="dcterms:W3CDTF">2026-03-23T15:00:15Z</dcterms:created>
  <dcterms:modified xsi:type="dcterms:W3CDTF">2026-03-24T04:50:13Z</dcterms:modified>
</cp:coreProperties>
</file>